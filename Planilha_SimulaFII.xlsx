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nfos\Desktop\estudos\Bootcamp Excel\"/>
    </mc:Choice>
  </mc:AlternateContent>
  <xr:revisionPtr revIDLastSave="0" documentId="13_ncr:1_{111D4797-4E74-4E14-ADD1-B8DF4B484D45}" xr6:coauthVersionLast="47" xr6:coauthVersionMax="47" xr10:uidLastSave="{00000000-0000-0000-0000-000000000000}"/>
  <bookViews>
    <workbookView xWindow="-45" yWindow="-16320" windowWidth="29040" windowHeight="15720" xr2:uid="{0909AB15-D3D5-436E-ACDC-3A846AC24954}"/>
  </bookViews>
  <sheets>
    <sheet name="Planilha1" sheetId="1" r:id="rId1"/>
    <sheet name="Planilha2" sheetId="2" state="hidden" r:id="rId2"/>
  </sheets>
  <definedNames>
    <definedName name="anos">Planilha1!$D$23</definedName>
    <definedName name="patrimonio_acumulado">Planilha1!$D$26</definedName>
    <definedName name="perfil">Planilha1!$E$37</definedName>
    <definedName name="rendimento_carteira">Planilha1!$E$18</definedName>
    <definedName name="salario">Planilha1!$E$17</definedName>
    <definedName name="taxa_mensal">Planilha1!$D$25</definedName>
    <definedName name="valor_investir">Planilha1!$D$22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24" i="1" l="1"/>
  <c r="J23" i="1"/>
  <c r="J18" i="1"/>
  <c r="J19" i="1" s="1"/>
  <c r="F32" i="1"/>
  <c r="F33" i="1"/>
  <c r="F34" i="1"/>
  <c r="F30" i="1"/>
  <c r="F31" i="1"/>
  <c r="D31" i="1"/>
  <c r="G31" i="1" s="1"/>
  <c r="D30" i="1"/>
  <c r="G30" i="1" s="1"/>
  <c r="D43" i="1"/>
  <c r="D42" i="1"/>
  <c r="D44" i="1"/>
  <c r="D45" i="1"/>
  <c r="D46" i="1"/>
  <c r="D41" i="1"/>
  <c r="D26" i="1"/>
  <c r="D27" i="1" s="1"/>
  <c r="B17" i="2"/>
  <c r="B18" i="2"/>
  <c r="B19" i="2"/>
  <c r="B20" i="2"/>
  <c r="B21" i="2"/>
  <c r="B16" i="2"/>
  <c r="B15" i="2"/>
  <c r="B11" i="2"/>
  <c r="B12" i="2"/>
  <c r="B13" i="2"/>
  <c r="B14" i="2"/>
  <c r="B10" i="2"/>
  <c r="B9" i="2"/>
  <c r="B5" i="2"/>
  <c r="B6" i="2"/>
  <c r="B7" i="2"/>
  <c r="B8" i="2"/>
  <c r="B4" i="2"/>
  <c r="D32" i="1"/>
  <c r="G32" i="1" s="1"/>
  <c r="D33" i="1"/>
  <c r="G33" i="1" s="1"/>
  <c r="D34" i="1"/>
  <c r="G34" i="1" s="1"/>
  <c r="E38" i="1"/>
  <c r="E19" i="1"/>
  <c r="E41" i="1" l="1"/>
  <c r="E45" i="1"/>
  <c r="E44" i="1"/>
  <c r="E43" i="1"/>
  <c r="E42" i="1"/>
  <c r="E46" i="1"/>
  <c r="E47" i="1" l="1"/>
</calcChain>
</file>

<file path=xl/sharedStrings.xml><?xml version="1.0" encoding="utf-8"?>
<sst xmlns="http://schemas.openxmlformats.org/spreadsheetml/2006/main" count="80" uniqueCount="43">
  <si>
    <t>Quanto Investir por mês?</t>
  </si>
  <si>
    <t>Por Quantos Anos?</t>
  </si>
  <si>
    <t>Taxa de Rendimento Mensal?</t>
  </si>
  <si>
    <t>Patrimõnio Acumulado?</t>
  </si>
  <si>
    <t>Dividendo Mensais?</t>
  </si>
  <si>
    <t>Quanto em 2 Anos?</t>
  </si>
  <si>
    <t>Quanto em 5 Anos?</t>
  </si>
  <si>
    <t>Quanto em 10 Anos?</t>
  </si>
  <si>
    <t>Quanto em 20 Anos?</t>
  </si>
  <si>
    <t>Quanto em 30 Anos?</t>
  </si>
  <si>
    <t xml:space="preserve">Cenários </t>
  </si>
  <si>
    <t>Dividendo</t>
  </si>
  <si>
    <t xml:space="preserve">Configurações </t>
  </si>
  <si>
    <t>Rendimento Carteira</t>
  </si>
  <si>
    <t xml:space="preserve">Salário </t>
  </si>
  <si>
    <t>Sujestão Investimento</t>
  </si>
  <si>
    <t>AGRESSIVO</t>
  </si>
  <si>
    <t>VALOR A SER INVESTIDO POR MÊS</t>
  </si>
  <si>
    <t xml:space="preserve">PERFIL </t>
  </si>
  <si>
    <t>TIPO DE FII</t>
  </si>
  <si>
    <t>Percentual Sugerido</t>
  </si>
  <si>
    <t>Valores</t>
  </si>
  <si>
    <t>PAPEL</t>
  </si>
  <si>
    <t>TIJOLO</t>
  </si>
  <si>
    <t>HÍBRIDOS</t>
  </si>
  <si>
    <t>FOFs</t>
  </si>
  <si>
    <t>DESENVOLVIMENTO</t>
  </si>
  <si>
    <t>HOTELARIAS</t>
  </si>
  <si>
    <t>CONSERVADOR</t>
  </si>
  <si>
    <t>%</t>
  </si>
  <si>
    <t>chave</t>
  </si>
  <si>
    <t>MODERADO</t>
  </si>
  <si>
    <t>Inflação Anual Estimada (IPCA)</t>
  </si>
  <si>
    <t>Parâmetros de Simulção</t>
  </si>
  <si>
    <t xml:space="preserve">Saldo Nominal  </t>
  </si>
  <si>
    <t>Poder de Compra</t>
  </si>
  <si>
    <t>Calculo Bola de Neve</t>
  </si>
  <si>
    <t>Preço Médio da Cota</t>
  </si>
  <si>
    <t>Patrimônio Necessário</t>
  </si>
  <si>
    <t xml:space="preserve">Cotas Necessárias </t>
  </si>
  <si>
    <t>Meta de Renda Mensal</t>
  </si>
  <si>
    <t>Quero Receber?</t>
  </si>
  <si>
    <t>Tempo Estimado (anos)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</si>
</sst>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R$&quot;\ #,##0.00;[Red]\-&quot;R$&quot;\ #,##0.00"/>
    <numFmt numFmtId="164" formatCode="&quot;R$&quot;\ #,##0.00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3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24"/>
      <color theme="0"/>
      <name val="Calibri Light"/>
      <family val="2"/>
      <scheme val="major"/>
    </font>
    <font>
      <b/>
      <sz val="16"/>
      <color theme="0"/>
      <name val="Calibri Light"/>
      <family val="2"/>
      <scheme val="major"/>
    </font>
    <font>
      <sz val="20"/>
      <color theme="0"/>
      <name val="Calibri Light"/>
      <family val="2"/>
      <scheme val="major"/>
    </font>
    <font>
      <sz val="16"/>
      <color theme="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6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0F9D58"/>
        <bgColor indexed="64"/>
      </patternFill>
    </fill>
  </fills>
  <borders count="5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theme="1"/>
      </left>
      <right/>
      <top style="medium">
        <color theme="1"/>
      </top>
      <bottom/>
      <diagonal/>
    </border>
    <border>
      <left/>
      <right/>
      <top style="medium">
        <color theme="1"/>
      </top>
      <bottom/>
      <diagonal/>
    </border>
    <border>
      <left/>
      <right style="medium">
        <color theme="1"/>
      </right>
      <top style="medium">
        <color theme="1"/>
      </top>
      <bottom/>
      <diagonal/>
    </border>
    <border>
      <left style="medium">
        <color theme="1"/>
      </left>
      <right/>
      <top/>
      <bottom style="medium">
        <color theme="1"/>
      </bottom>
      <diagonal/>
    </border>
    <border>
      <left style="thin">
        <color theme="1" tint="0.499984740745262"/>
      </left>
      <right/>
      <top style="thin">
        <color theme="1" tint="0.499984740745262"/>
      </top>
      <bottom style="thin">
        <color theme="1" tint="0.499984740745262"/>
      </bottom>
      <diagonal/>
    </border>
    <border>
      <left/>
      <right/>
      <top style="thin">
        <color theme="1" tint="0.499984740745262"/>
      </top>
      <bottom style="thin">
        <color theme="1" tint="0.499984740745262"/>
      </bottom>
      <diagonal/>
    </border>
    <border>
      <left style="medium">
        <color theme="1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/>
      <right style="medium">
        <color theme="1"/>
      </right>
      <top style="thin">
        <color theme="1" tint="0.499984740745262"/>
      </top>
      <bottom style="thin">
        <color theme="1" tint="0.499984740745262"/>
      </bottom>
      <diagonal/>
    </border>
    <border>
      <left style="medium">
        <color theme="1"/>
      </left>
      <right style="thin">
        <color theme="1" tint="0.499984740745262"/>
      </right>
      <top/>
      <bottom style="thin">
        <color theme="1" tint="0.499984740745262"/>
      </bottom>
      <diagonal/>
    </border>
    <border>
      <left style="medium">
        <color theme="1"/>
      </left>
      <right/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/>
      <top style="thin">
        <color theme="1" tint="0.499984740745262"/>
      </top>
      <bottom style="medium">
        <color theme="1"/>
      </bottom>
      <diagonal/>
    </border>
    <border>
      <left/>
      <right/>
      <top style="thin">
        <color theme="1" tint="0.499984740745262"/>
      </top>
      <bottom style="medium">
        <color theme="1"/>
      </bottom>
      <diagonal/>
    </border>
    <border>
      <left/>
      <right style="medium">
        <color theme="1"/>
      </right>
      <top style="thin">
        <color theme="1" tint="0.499984740745262"/>
      </top>
      <bottom style="medium">
        <color theme="1"/>
      </bottom>
      <diagonal/>
    </border>
    <border>
      <left/>
      <right/>
      <top style="thin">
        <color theme="1" tint="0.499984740745262"/>
      </top>
      <bottom style="thin">
        <color theme="0"/>
      </bottom>
      <diagonal/>
    </border>
    <border>
      <left style="thin">
        <color theme="0"/>
      </left>
      <right style="medium">
        <color theme="1"/>
      </right>
      <top/>
      <bottom/>
      <diagonal/>
    </border>
    <border>
      <left style="thin">
        <color theme="0"/>
      </left>
      <right style="medium">
        <color theme="1"/>
      </right>
      <top style="thin">
        <color theme="0"/>
      </top>
      <bottom/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2" tint="-0.24994659260841701"/>
      </left>
      <right style="thin">
        <color theme="2" tint="-0.24994659260841701"/>
      </right>
      <top/>
      <bottom style="thin">
        <color theme="2" tint="-0.24994659260841701"/>
      </bottom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  <border>
      <left style="thin">
        <color theme="2" tint="-0.24994659260841701"/>
      </left>
      <right style="medium">
        <color theme="1"/>
      </right>
      <top/>
      <bottom style="thin">
        <color theme="2" tint="-0.24994659260841701"/>
      </bottom>
      <diagonal/>
    </border>
    <border>
      <left style="thin">
        <color theme="2" tint="-0.24994659260841701"/>
      </left>
      <right style="medium">
        <color theme="1"/>
      </right>
      <top style="thin">
        <color theme="2" tint="-0.24994659260841701"/>
      </top>
      <bottom style="thin">
        <color theme="2" tint="-0.24994659260841701"/>
      </bottom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 style="medium">
        <color theme="1"/>
      </bottom>
      <diagonal/>
    </border>
    <border>
      <left style="thin">
        <color theme="2" tint="-0.24994659260841701"/>
      </left>
      <right style="medium">
        <color theme="1"/>
      </right>
      <top style="thin">
        <color theme="2" tint="-0.24994659260841701"/>
      </top>
      <bottom style="medium">
        <color theme="1"/>
      </bottom>
      <diagonal/>
    </border>
    <border>
      <left style="thin">
        <color theme="0"/>
      </left>
      <right style="medium">
        <color theme="1"/>
      </right>
      <top style="thin">
        <color theme="0"/>
      </top>
      <bottom style="medium">
        <color indexed="64"/>
      </bottom>
      <diagonal/>
    </border>
    <border>
      <left style="medium">
        <color theme="1"/>
      </left>
      <right/>
      <top style="thin">
        <color theme="2" tint="-0.24994659260841701"/>
      </top>
      <bottom style="medium">
        <color theme="1"/>
      </bottom>
      <diagonal/>
    </border>
    <border>
      <left/>
      <right style="thin">
        <color theme="2" tint="-0.24994659260841701"/>
      </right>
      <top style="thin">
        <color theme="2" tint="-0.24994659260841701"/>
      </top>
      <bottom style="medium">
        <color theme="1"/>
      </bottom>
      <diagonal/>
    </border>
    <border>
      <left style="medium">
        <color theme="1"/>
      </left>
      <right/>
      <top style="thin">
        <color theme="2" tint="-0.24994659260841701"/>
      </top>
      <bottom style="thin">
        <color theme="2" tint="-0.24994659260841701"/>
      </bottom>
      <diagonal/>
    </border>
    <border>
      <left/>
      <right style="thin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  <border>
      <left style="medium">
        <color theme="1"/>
      </left>
      <right/>
      <top/>
      <bottom style="thin">
        <color theme="2" tint="-0.24994659260841701"/>
      </bottom>
      <diagonal/>
    </border>
    <border>
      <left/>
      <right style="thin">
        <color theme="2" tint="-0.24994659260841701"/>
      </right>
      <top/>
      <bottom style="thin">
        <color theme="2" tint="-0.24994659260841701"/>
      </bottom>
      <diagonal/>
    </border>
    <border>
      <left style="medium">
        <color theme="1"/>
      </left>
      <right style="thin">
        <color theme="0"/>
      </right>
      <top style="thin">
        <color theme="1" tint="0.499984740745262"/>
      </top>
      <bottom style="thin">
        <color theme="0"/>
      </bottom>
      <diagonal/>
    </border>
    <border>
      <left style="medium">
        <color theme="1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medium">
        <color theme="1"/>
      </left>
      <right style="thin">
        <color theme="0"/>
      </right>
      <top/>
      <bottom style="thin">
        <color theme="0"/>
      </bottom>
      <diagonal/>
    </border>
    <border>
      <left style="medium">
        <color theme="1"/>
      </left>
      <right style="thin">
        <color theme="0"/>
      </right>
      <top/>
      <bottom/>
      <diagonal/>
    </border>
    <border>
      <left style="medium">
        <color theme="1"/>
      </left>
      <right style="thin">
        <color theme="0"/>
      </right>
      <top style="thin">
        <color theme="0"/>
      </top>
      <bottom style="medium">
        <color theme="1"/>
      </bottom>
      <diagonal/>
    </border>
    <border>
      <left style="medium">
        <color theme="1"/>
      </left>
      <right/>
      <top style="medium">
        <color theme="1"/>
      </top>
      <bottom style="thin">
        <color theme="1" tint="0.499984740745262"/>
      </bottom>
      <diagonal/>
    </border>
    <border>
      <left/>
      <right/>
      <top style="medium">
        <color theme="1"/>
      </top>
      <bottom style="thin">
        <color theme="1" tint="0.499984740745262"/>
      </bottom>
      <diagonal/>
    </border>
    <border>
      <left style="thin">
        <color theme="0"/>
      </left>
      <right/>
      <top style="thin">
        <color theme="1" tint="0.499984740745262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medium">
        <color theme="1"/>
      </bottom>
      <diagonal/>
    </border>
    <border>
      <left style="medium">
        <color theme="1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1" tint="0.499984740745262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medium">
        <color theme="1"/>
      </bottom>
      <diagonal/>
    </border>
    <border>
      <left/>
      <right style="thin">
        <color theme="0"/>
      </right>
      <top style="thin">
        <color theme="0"/>
      </top>
      <bottom style="medium">
        <color theme="1"/>
      </bottom>
      <diagonal/>
    </border>
    <border>
      <left/>
      <right/>
      <top style="thin">
        <color theme="2" tint="-0.24994659260841701"/>
      </top>
      <bottom/>
      <diagonal/>
    </border>
    <border>
      <left style="thin">
        <color theme="2" tint="-0.24994659260841701"/>
      </left>
      <right/>
      <top/>
      <bottom style="thin">
        <color theme="2" tint="-0.24994659260841701"/>
      </bottom>
      <diagonal/>
    </border>
    <border>
      <left/>
      <right/>
      <top/>
      <bottom style="thin">
        <color theme="2" tint="-0.24994659260841701"/>
      </bottom>
      <diagonal/>
    </border>
    <border>
      <left/>
      <right style="medium">
        <color theme="1"/>
      </right>
      <top/>
      <bottom style="thin">
        <color theme="2" tint="-0.24994659260841701"/>
      </bottom>
      <diagonal/>
    </border>
    <border>
      <left style="thin">
        <color theme="2" tint="-0.24994659260841701"/>
      </left>
      <right/>
      <top style="thin">
        <color theme="2" tint="-0.24994659260841701"/>
      </top>
      <bottom/>
      <diagonal/>
    </border>
    <border>
      <left style="thin">
        <color theme="2" tint="-0.24994659260841701"/>
      </left>
      <right/>
      <top style="thin">
        <color theme="2" tint="-0.249977111117893"/>
      </top>
      <bottom style="medium">
        <color theme="1"/>
      </bottom>
      <diagonal/>
    </border>
    <border>
      <left/>
      <right/>
      <top style="thin">
        <color theme="2" tint="-0.249977111117893"/>
      </top>
      <bottom style="medium">
        <color theme="1"/>
      </bottom>
      <diagonal/>
    </border>
    <border>
      <left/>
      <right style="medium">
        <color theme="1"/>
      </right>
      <top style="thin">
        <color theme="2" tint="-0.24994659260841701"/>
      </top>
      <bottom/>
      <diagonal/>
    </border>
    <border>
      <left/>
      <right style="medium">
        <color theme="1"/>
      </right>
      <top style="thin">
        <color theme="2" tint="-0.249977111117893"/>
      </top>
      <bottom style="medium">
        <color theme="1"/>
      </bottom>
      <diagonal/>
    </border>
    <border>
      <left/>
      <right style="medium">
        <color theme="1"/>
      </right>
      <top style="medium">
        <color theme="1"/>
      </top>
      <bottom style="thin">
        <color theme="1" tint="0.499984740745262"/>
      </bottom>
      <diagonal/>
    </border>
  </borders>
  <cellStyleXfs count="4">
    <xf numFmtId="0" fontId="0" fillId="0" borderId="0"/>
    <xf numFmtId="0" fontId="2" fillId="2" borderId="0" applyNumberFormat="0" applyBorder="0" applyAlignment="0" applyProtection="0"/>
    <xf numFmtId="0" fontId="4" fillId="3" borderId="0" applyNumberFormat="0" applyBorder="0" applyAlignment="0" applyProtection="0"/>
    <xf numFmtId="0" fontId="1" fillId="4" borderId="0" applyNumberFormat="0" applyBorder="0" applyAlignment="0" applyProtection="0"/>
  </cellStyleXfs>
  <cellXfs count="107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0" fontId="5" fillId="0" borderId="0" xfId="0" applyFont="1"/>
    <xf numFmtId="0" fontId="0" fillId="5" borderId="4" xfId="0" applyFill="1" applyBorder="1"/>
    <xf numFmtId="0" fontId="4" fillId="0" borderId="0" xfId="0" applyFont="1"/>
    <xf numFmtId="164" fontId="0" fillId="0" borderId="0" xfId="0" applyNumberFormat="1"/>
    <xf numFmtId="0" fontId="6" fillId="0" borderId="8" xfId="0" applyFont="1" applyBorder="1" applyAlignment="1">
      <alignment horizontal="left" indent="3"/>
    </xf>
    <xf numFmtId="0" fontId="6" fillId="0" borderId="10" xfId="0" applyFont="1" applyBorder="1" applyAlignment="1">
      <alignment horizontal="left" indent="3"/>
    </xf>
    <xf numFmtId="0" fontId="7" fillId="5" borderId="2" xfId="0" applyFont="1" applyFill="1" applyBorder="1" applyAlignment="1">
      <alignment horizontal="center" vertical="center"/>
    </xf>
    <xf numFmtId="0" fontId="8" fillId="5" borderId="4" xfId="0" applyFont="1" applyFill="1" applyBorder="1" applyAlignment="1">
      <alignment horizontal="center" vertical="center"/>
    </xf>
    <xf numFmtId="0" fontId="1" fillId="4" borderId="33" xfId="3" applyBorder="1" applyAlignment="1">
      <alignment horizontal="left" indent="3"/>
    </xf>
    <xf numFmtId="164" fontId="1" fillId="4" borderId="16" xfId="3" applyNumberFormat="1" applyBorder="1" applyAlignment="1">
      <alignment horizontal="center"/>
    </xf>
    <xf numFmtId="0" fontId="1" fillId="4" borderId="34" xfId="3" applyBorder="1" applyAlignment="1">
      <alignment horizontal="left" indent="3"/>
    </xf>
    <xf numFmtId="164" fontId="1" fillId="4" borderId="17" xfId="3" applyNumberFormat="1" applyBorder="1" applyAlignment="1">
      <alignment horizontal="center"/>
    </xf>
    <xf numFmtId="0" fontId="1" fillId="4" borderId="35" xfId="3" applyBorder="1" applyAlignment="1">
      <alignment horizontal="left" indent="3"/>
    </xf>
    <xf numFmtId="0" fontId="1" fillId="4" borderId="36" xfId="3" applyBorder="1" applyAlignment="1">
      <alignment horizontal="left" indent="3"/>
    </xf>
    <xf numFmtId="0" fontId="1" fillId="4" borderId="37" xfId="3" applyBorder="1" applyAlignment="1">
      <alignment horizontal="left" indent="3"/>
    </xf>
    <xf numFmtId="164" fontId="1" fillId="4" borderId="26" xfId="3" applyNumberFormat="1" applyBorder="1" applyAlignment="1">
      <alignment horizontal="center"/>
    </xf>
    <xf numFmtId="0" fontId="4" fillId="3" borderId="11" xfId="2" applyBorder="1" applyAlignment="1">
      <alignment horizontal="left" indent="3"/>
    </xf>
    <xf numFmtId="0" fontId="4" fillId="3" borderId="5" xfId="2" applyBorder="1" applyAlignment="1">
      <alignment horizontal="left" indent="3"/>
    </xf>
    <xf numFmtId="0" fontId="1" fillId="4" borderId="0" xfId="3"/>
    <xf numFmtId="0" fontId="2" fillId="2" borderId="0" xfId="1" applyBorder="1" applyAlignment="1">
      <alignment horizontal="left" indent="3"/>
    </xf>
    <xf numFmtId="0" fontId="2" fillId="2" borderId="0" xfId="1"/>
    <xf numFmtId="164" fontId="1" fillId="4" borderId="0" xfId="3" applyNumberFormat="1" applyAlignment="1">
      <alignment horizontal="center"/>
    </xf>
    <xf numFmtId="9" fontId="0" fillId="0" borderId="0" xfId="0" applyNumberFormat="1" applyAlignment="1">
      <alignment horizontal="center"/>
    </xf>
    <xf numFmtId="0" fontId="4" fillId="3" borderId="0" xfId="2" applyAlignment="1">
      <alignment horizontal="center"/>
    </xf>
    <xf numFmtId="0" fontId="4" fillId="3" borderId="0" xfId="2"/>
    <xf numFmtId="164" fontId="4" fillId="3" borderId="0" xfId="2" applyNumberFormat="1"/>
    <xf numFmtId="0" fontId="0" fillId="0" borderId="1" xfId="0" applyBorder="1" applyAlignment="1">
      <alignment horizontal="center"/>
    </xf>
    <xf numFmtId="9" fontId="0" fillId="0" borderId="0" xfId="0" applyNumberFormat="1"/>
    <xf numFmtId="9" fontId="0" fillId="0" borderId="1" xfId="0" applyNumberFormat="1" applyBorder="1"/>
    <xf numFmtId="0" fontId="2" fillId="2" borderId="0" xfId="1" applyAlignment="1" applyProtection="1">
      <alignment horizontal="center"/>
      <protection locked="0"/>
    </xf>
    <xf numFmtId="0" fontId="9" fillId="6" borderId="2" xfId="0" applyFont="1" applyFill="1" applyBorder="1" applyAlignment="1">
      <alignment horizontal="center" vertical="center"/>
    </xf>
    <xf numFmtId="0" fontId="9" fillId="6" borderId="3" xfId="0" applyFont="1" applyFill="1" applyBorder="1" applyAlignment="1">
      <alignment horizontal="center" vertical="center"/>
    </xf>
    <xf numFmtId="0" fontId="9" fillId="6" borderId="4" xfId="0" applyFont="1" applyFill="1" applyBorder="1" applyAlignment="1">
      <alignment horizontal="center" vertical="center"/>
    </xf>
    <xf numFmtId="0" fontId="1" fillId="4" borderId="31" xfId="3" applyBorder="1" applyAlignment="1">
      <alignment horizontal="left" indent="3"/>
    </xf>
    <xf numFmtId="0" fontId="1" fillId="4" borderId="32" xfId="3" applyBorder="1" applyAlignment="1">
      <alignment horizontal="left" indent="3"/>
    </xf>
    <xf numFmtId="0" fontId="1" fillId="4" borderId="29" xfId="3" applyBorder="1" applyAlignment="1">
      <alignment horizontal="left" indent="3"/>
    </xf>
    <xf numFmtId="0" fontId="1" fillId="4" borderId="30" xfId="3" applyBorder="1" applyAlignment="1">
      <alignment horizontal="left" indent="3"/>
    </xf>
    <xf numFmtId="0" fontId="1" fillId="4" borderId="27" xfId="3" applyBorder="1" applyAlignment="1">
      <alignment horizontal="left" indent="3"/>
    </xf>
    <xf numFmtId="0" fontId="1" fillId="4" borderId="28" xfId="3" applyBorder="1" applyAlignment="1">
      <alignment horizontal="left" indent="3"/>
    </xf>
    <xf numFmtId="164" fontId="0" fillId="0" borderId="20" xfId="0" applyNumberFormat="1" applyBorder="1" applyAlignment="1" applyProtection="1">
      <alignment horizontal="center"/>
      <protection locked="0"/>
    </xf>
    <xf numFmtId="164" fontId="0" fillId="0" borderId="22" xfId="0" applyNumberFormat="1" applyBorder="1" applyAlignment="1" applyProtection="1">
      <alignment horizontal="center"/>
      <protection locked="0"/>
    </xf>
    <xf numFmtId="9" fontId="0" fillId="0" borderId="21" xfId="0" applyNumberFormat="1" applyBorder="1" applyAlignment="1" applyProtection="1">
      <alignment horizontal="center"/>
      <protection locked="0"/>
    </xf>
    <xf numFmtId="9" fontId="0" fillId="0" borderId="23" xfId="0" applyNumberFormat="1" applyBorder="1" applyAlignment="1" applyProtection="1">
      <alignment horizontal="center"/>
      <protection locked="0"/>
    </xf>
    <xf numFmtId="0" fontId="3" fillId="0" borderId="6" xfId="0" applyFont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center"/>
      <protection locked="0"/>
    </xf>
    <xf numFmtId="8" fontId="4" fillId="3" borderId="12" xfId="2" applyNumberFormat="1" applyBorder="1" applyAlignment="1">
      <alignment horizontal="center"/>
    </xf>
    <xf numFmtId="8" fontId="4" fillId="3" borderId="13" xfId="2" applyNumberFormat="1" applyBorder="1" applyAlignment="1">
      <alignment horizontal="center"/>
    </xf>
    <xf numFmtId="164" fontId="1" fillId="4" borderId="24" xfId="3" applyNumberFormat="1" applyBorder="1" applyAlignment="1">
      <alignment horizontal="center"/>
    </xf>
    <xf numFmtId="164" fontId="1" fillId="4" borderId="25" xfId="3" applyNumberFormat="1" applyBorder="1" applyAlignment="1">
      <alignment horizontal="center"/>
    </xf>
    <xf numFmtId="0" fontId="7" fillId="5" borderId="38" xfId="0" applyFont="1" applyFill="1" applyBorder="1" applyAlignment="1">
      <alignment horizontal="center" vertical="center"/>
    </xf>
    <xf numFmtId="0" fontId="7" fillId="5" borderId="39" xfId="0" applyFont="1" applyFill="1" applyBorder="1" applyAlignment="1">
      <alignment horizontal="center" vertical="center"/>
    </xf>
    <xf numFmtId="8" fontId="1" fillId="4" borderId="40" xfId="3" applyNumberFormat="1" applyBorder="1" applyAlignment="1">
      <alignment horizontal="center"/>
    </xf>
    <xf numFmtId="8" fontId="1" fillId="4" borderId="15" xfId="3" applyNumberFormat="1" applyBorder="1" applyAlignment="1">
      <alignment horizontal="center"/>
    </xf>
    <xf numFmtId="164" fontId="3" fillId="0" borderId="6" xfId="0" applyNumberFormat="1" applyFont="1" applyBorder="1" applyAlignment="1" applyProtection="1">
      <alignment horizontal="center"/>
      <protection locked="0"/>
    </xf>
    <xf numFmtId="164" fontId="3" fillId="0" borderId="7" xfId="0" applyNumberFormat="1" applyFont="1" applyBorder="1" applyAlignment="1" applyProtection="1">
      <alignment horizontal="center"/>
      <protection locked="0"/>
    </xf>
    <xf numFmtId="8" fontId="1" fillId="4" borderId="41" xfId="3" applyNumberFormat="1" applyBorder="1" applyAlignment="1">
      <alignment horizontal="center"/>
    </xf>
    <xf numFmtId="8" fontId="1" fillId="4" borderId="18" xfId="3" applyNumberFormat="1" applyBorder="1" applyAlignment="1">
      <alignment horizontal="center"/>
    </xf>
    <xf numFmtId="8" fontId="1" fillId="4" borderId="42" xfId="3" applyNumberFormat="1" applyBorder="1" applyAlignment="1">
      <alignment horizontal="center"/>
    </xf>
    <xf numFmtId="8" fontId="4" fillId="3" borderId="6" xfId="2" applyNumberFormat="1" applyBorder="1" applyAlignment="1">
      <alignment horizontal="center"/>
    </xf>
    <xf numFmtId="8" fontId="4" fillId="3" borderId="7" xfId="2" applyNumberFormat="1" applyBorder="1" applyAlignment="1">
      <alignment horizontal="center"/>
    </xf>
    <xf numFmtId="10" fontId="3" fillId="0" borderId="6" xfId="0" applyNumberFormat="1" applyFont="1" applyBorder="1" applyAlignment="1" applyProtection="1">
      <alignment horizontal="center"/>
      <protection locked="0"/>
    </xf>
    <xf numFmtId="10" fontId="3" fillId="0" borderId="7" xfId="0" applyNumberFormat="1" applyFont="1" applyBorder="1" applyAlignment="1" applyProtection="1">
      <alignment horizontal="center"/>
      <protection locked="0"/>
    </xf>
    <xf numFmtId="0" fontId="2" fillId="0" borderId="0" xfId="1" applyFill="1" applyBorder="1" applyAlignment="1">
      <alignment horizontal="left" indent="4"/>
    </xf>
    <xf numFmtId="8" fontId="1" fillId="4" borderId="0" xfId="3" applyNumberFormat="1" applyBorder="1" applyAlignment="1">
      <alignment horizontal="center"/>
    </xf>
    <xf numFmtId="8" fontId="1" fillId="4" borderId="44" xfId="3" applyNumberFormat="1" applyBorder="1" applyAlignment="1">
      <alignment horizontal="center"/>
    </xf>
    <xf numFmtId="8" fontId="1" fillId="4" borderId="19" xfId="3" applyNumberFormat="1" applyBorder="1" applyAlignment="1">
      <alignment horizontal="center"/>
    </xf>
    <xf numFmtId="8" fontId="1" fillId="4" borderId="45" xfId="3" applyNumberFormat="1" applyBorder="1" applyAlignment="1">
      <alignment horizontal="center"/>
    </xf>
    <xf numFmtId="8" fontId="1" fillId="4" borderId="47" xfId="3" applyNumberFormat="1" applyBorder="1" applyAlignment="1">
      <alignment horizontal="center"/>
    </xf>
    <xf numFmtId="0" fontId="0" fillId="0" borderId="0" xfId="0" applyBorder="1"/>
    <xf numFmtId="8" fontId="1" fillId="4" borderId="46" xfId="3" applyNumberFormat="1" applyBorder="1" applyAlignment="1">
      <alignment horizontal="center"/>
    </xf>
    <xf numFmtId="0" fontId="8" fillId="5" borderId="39" xfId="0" applyFont="1" applyFill="1" applyBorder="1" applyAlignment="1">
      <alignment horizontal="center" vertical="center"/>
    </xf>
    <xf numFmtId="0" fontId="3" fillId="5" borderId="39" xfId="0" applyFont="1" applyFill="1" applyBorder="1" applyAlignment="1">
      <alignment horizontal="center" vertical="center"/>
    </xf>
    <xf numFmtId="164" fontId="3" fillId="0" borderId="9" xfId="0" applyNumberFormat="1" applyFont="1" applyBorder="1" applyAlignment="1" applyProtection="1">
      <alignment horizontal="center"/>
      <protection locked="0"/>
    </xf>
    <xf numFmtId="0" fontId="3" fillId="0" borderId="9" xfId="0" applyFont="1" applyBorder="1" applyAlignment="1" applyProtection="1">
      <alignment horizontal="center"/>
      <protection locked="0"/>
    </xf>
    <xf numFmtId="10" fontId="3" fillId="0" borderId="9" xfId="0" applyNumberFormat="1" applyFont="1" applyBorder="1" applyAlignment="1" applyProtection="1">
      <alignment horizontal="center"/>
      <protection locked="0"/>
    </xf>
    <xf numFmtId="8" fontId="4" fillId="3" borderId="9" xfId="2" applyNumberFormat="1" applyBorder="1" applyAlignment="1">
      <alignment horizontal="center"/>
    </xf>
    <xf numFmtId="8" fontId="4" fillId="3" borderId="14" xfId="2" applyNumberFormat="1" applyBorder="1" applyAlignment="1">
      <alignment horizontal="center"/>
    </xf>
    <xf numFmtId="0" fontId="10" fillId="5" borderId="3" xfId="0" applyFont="1" applyFill="1" applyBorder="1" applyAlignment="1">
      <alignment horizontal="center" vertical="center"/>
    </xf>
    <xf numFmtId="9" fontId="3" fillId="0" borderId="6" xfId="0" applyNumberFormat="1" applyFont="1" applyBorder="1" applyAlignment="1" applyProtection="1">
      <alignment horizontal="center"/>
      <protection locked="0"/>
    </xf>
    <xf numFmtId="9" fontId="3" fillId="0" borderId="7" xfId="0" applyNumberFormat="1" applyFont="1" applyBorder="1" applyAlignment="1" applyProtection="1">
      <alignment horizontal="center"/>
      <protection locked="0"/>
    </xf>
    <xf numFmtId="9" fontId="3" fillId="0" borderId="9" xfId="0" applyNumberFormat="1" applyFont="1" applyBorder="1" applyAlignment="1" applyProtection="1">
      <alignment horizontal="center"/>
      <protection locked="0"/>
    </xf>
    <xf numFmtId="0" fontId="7" fillId="5" borderId="3" xfId="0" applyFont="1" applyFill="1" applyBorder="1" applyAlignment="1">
      <alignment horizontal="center" vertical="center"/>
    </xf>
    <xf numFmtId="0" fontId="7" fillId="5" borderId="4" xfId="0" applyFont="1" applyFill="1" applyBorder="1" applyAlignment="1">
      <alignment horizontal="center" vertical="center"/>
    </xf>
    <xf numFmtId="0" fontId="1" fillId="4" borderId="31" xfId="3" applyBorder="1" applyAlignment="1">
      <alignment horizontal="left" indent="2"/>
    </xf>
    <xf numFmtId="0" fontId="1" fillId="4" borderId="32" xfId="3" applyBorder="1" applyAlignment="1">
      <alignment horizontal="left" indent="2"/>
    </xf>
    <xf numFmtId="0" fontId="1" fillId="4" borderId="29" xfId="3" applyBorder="1" applyAlignment="1">
      <alignment horizontal="left" indent="2"/>
    </xf>
    <xf numFmtId="0" fontId="1" fillId="4" borderId="30" xfId="3" applyBorder="1" applyAlignment="1">
      <alignment horizontal="left" indent="2"/>
    </xf>
    <xf numFmtId="0" fontId="7" fillId="5" borderId="2" xfId="0" applyFont="1" applyFill="1" applyBorder="1" applyAlignment="1">
      <alignment horizontal="center" vertical="center"/>
    </xf>
    <xf numFmtId="164" fontId="0" fillId="0" borderId="49" xfId="0" applyNumberFormat="1" applyBorder="1" applyAlignment="1" applyProtection="1">
      <alignment horizontal="center"/>
      <protection locked="0"/>
    </xf>
    <xf numFmtId="164" fontId="0" fillId="0" borderId="50" xfId="0" applyNumberFormat="1" applyBorder="1" applyAlignment="1" applyProtection="1">
      <alignment horizontal="center"/>
      <protection locked="0"/>
    </xf>
    <xf numFmtId="164" fontId="0" fillId="0" borderId="51" xfId="0" applyNumberFormat="1" applyBorder="1" applyAlignment="1" applyProtection="1">
      <alignment horizontal="center"/>
      <protection locked="0"/>
    </xf>
    <xf numFmtId="164" fontId="1" fillId="4" borderId="52" xfId="3" applyNumberFormat="1" applyBorder="1" applyAlignment="1">
      <alignment horizontal="center"/>
    </xf>
    <xf numFmtId="164" fontId="1" fillId="4" borderId="48" xfId="3" applyNumberFormat="1" applyBorder="1" applyAlignment="1">
      <alignment horizontal="center"/>
    </xf>
    <xf numFmtId="164" fontId="1" fillId="4" borderId="53" xfId="3" applyNumberFormat="1" applyBorder="1" applyAlignment="1">
      <alignment horizontal="center"/>
    </xf>
    <xf numFmtId="164" fontId="1" fillId="4" borderId="54" xfId="3" applyNumberFormat="1" applyBorder="1" applyAlignment="1">
      <alignment horizontal="center"/>
    </xf>
    <xf numFmtId="0" fontId="0" fillId="0" borderId="43" xfId="0" applyBorder="1"/>
    <xf numFmtId="164" fontId="1" fillId="4" borderId="55" xfId="3" applyNumberFormat="1" applyBorder="1" applyAlignment="1">
      <alignment horizontal="center"/>
    </xf>
    <xf numFmtId="0" fontId="1" fillId="4" borderId="27" xfId="3" applyBorder="1" applyAlignment="1">
      <alignment horizontal="left" indent="2"/>
    </xf>
    <xf numFmtId="0" fontId="1" fillId="4" borderId="28" xfId="3" applyBorder="1" applyAlignment="1">
      <alignment horizontal="left" indent="2"/>
    </xf>
    <xf numFmtId="164" fontId="1" fillId="4" borderId="56" xfId="3" applyNumberFormat="1" applyBorder="1" applyAlignment="1">
      <alignment horizontal="center"/>
    </xf>
    <xf numFmtId="0" fontId="7" fillId="5" borderId="57" xfId="0" applyFont="1" applyFill="1" applyBorder="1" applyAlignment="1">
      <alignment horizontal="center" vertical="center"/>
    </xf>
    <xf numFmtId="1" fontId="1" fillId="4" borderId="53" xfId="3" applyNumberFormat="1" applyBorder="1" applyAlignment="1">
      <alignment horizontal="center"/>
    </xf>
    <xf numFmtId="1" fontId="1" fillId="4" borderId="54" xfId="3" applyNumberFormat="1" applyBorder="1" applyAlignment="1">
      <alignment horizontal="center"/>
    </xf>
    <xf numFmtId="1" fontId="1" fillId="4" borderId="56" xfId="3" applyNumberFormat="1" applyBorder="1" applyAlignment="1">
      <alignment horizontal="center"/>
    </xf>
  </cellXfs>
  <cellStyles count="4">
    <cellStyle name="60% - Ênfase3" xfId="3" builtinId="40"/>
    <cellStyle name="Ênfase3" xfId="2" builtinId="37"/>
    <cellStyle name="Neutro" xfId="1" builtinId="28"/>
    <cellStyle name="Normal" xfId="0" builtinId="0"/>
  </cellStyles>
  <dxfs count="0"/>
  <tableStyles count="0" defaultTableStyle="TableStyleMedium2" defaultPivotStyle="PivotStyleLight16"/>
  <colors>
    <mruColors>
      <color rgb="FF0F9D5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tx>
            <c:strRef>
              <c:f>Planilha1!$D$40</c:f>
              <c:strCache>
                <c:ptCount val="1"/>
                <c:pt idx="0">
                  <c:v>Percentual Sugerido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822-49DF-A3C4-E91317CEB91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822-49DF-A3C4-E91317CEB91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9822-49DF-A3C4-E91317CEB916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9822-49DF-A3C4-E91317CEB916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9822-49DF-A3C4-E91317CEB916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9822-49DF-A3C4-E91317CEB91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Planilha1!$C$41:$C$46</c:f>
              <c:strCache>
                <c:ptCount val="6"/>
                <c:pt idx="0">
                  <c:v>PAPEL</c:v>
                </c:pt>
                <c:pt idx="1">
                  <c:v>TIJOLO</c:v>
                </c:pt>
                <c:pt idx="2">
                  <c:v>HÍBRIDOS</c:v>
                </c:pt>
                <c:pt idx="3">
                  <c:v>FOFs</c:v>
                </c:pt>
                <c:pt idx="4">
                  <c:v>DESENVOLVIMENTO</c:v>
                </c:pt>
                <c:pt idx="5">
                  <c:v>HOTELARIAS</c:v>
                </c:pt>
              </c:strCache>
            </c:strRef>
          </c:cat>
          <c:val>
            <c:numRef>
              <c:f>Planilha1!$D$41:$D$46</c:f>
              <c:numCache>
                <c:formatCode>0%</c:formatCode>
                <c:ptCount val="6"/>
                <c:pt idx="0">
                  <c:v>0.3</c:v>
                </c:pt>
                <c:pt idx="1">
                  <c:v>0.5</c:v>
                </c:pt>
                <c:pt idx="2">
                  <c:v>0.1</c:v>
                </c:pt>
                <c:pt idx="3">
                  <c:v>0.1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291-4171-962E-292AC797F1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1.657597308614751E-3"/>
          <c:y val="0.64251239008412397"/>
          <c:w val="0.79853097203111023"/>
          <c:h val="0.297024951558460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1"/>
          <c:order val="1"/>
          <c:tx>
            <c:v>Saldo Nominal </c:v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Planilha1!$C$30:$C$34</c:f>
              <c:strCache>
                <c:ptCount val="5"/>
                <c:pt idx="0">
                  <c:v>Quanto em 2 Anos?</c:v>
                </c:pt>
                <c:pt idx="1">
                  <c:v>Quanto em 5 Anos?</c:v>
                </c:pt>
                <c:pt idx="2">
                  <c:v>Quanto em 10 Anos?</c:v>
                </c:pt>
                <c:pt idx="3">
                  <c:v>Quanto em 20 Anos?</c:v>
                </c:pt>
                <c:pt idx="4">
                  <c:v>Quanto em 30 Anos?</c:v>
                </c:pt>
              </c:strCache>
            </c:strRef>
          </c:cat>
          <c:val>
            <c:numRef>
              <c:f>Planilha1!$D$30:$D$34</c:f>
              <c:numCache>
                <c:formatCode>"R$"#,##0.00_);[Red]\("R$"#,##0.00\)</c:formatCode>
                <c:ptCount val="5"/>
                <c:pt idx="0">
                  <c:v>16336.57637858713</c:v>
                </c:pt>
                <c:pt idx="1">
                  <c:v>50266.148399092584</c:v>
                </c:pt>
                <c:pt idx="2">
                  <c:v>145970.52751810331</c:v>
                </c:pt>
                <c:pt idx="3">
                  <c:v>675119.04005824833</c:v>
                </c:pt>
                <c:pt idx="4">
                  <c:v>2593301.7930028285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0CD-42F9-8C03-E9E73129EFEE}"/>
            </c:ext>
          </c:extLst>
        </c:ser>
        <c:ser>
          <c:idx val="3"/>
          <c:order val="3"/>
          <c:tx>
            <c:v>Poder de Compra </c:v>
          </c:tx>
          <c:spPr>
            <a:ln w="2222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Planilha1!$C$30:$C$34</c:f>
              <c:strCache>
                <c:ptCount val="5"/>
                <c:pt idx="0">
                  <c:v>Quanto em 2 Anos?</c:v>
                </c:pt>
                <c:pt idx="1">
                  <c:v>Quanto em 5 Anos?</c:v>
                </c:pt>
                <c:pt idx="2">
                  <c:v>Quanto em 10 Anos?</c:v>
                </c:pt>
                <c:pt idx="3">
                  <c:v>Quanto em 20 Anos?</c:v>
                </c:pt>
                <c:pt idx="4">
                  <c:v>Quanto em 30 Anos?</c:v>
                </c:pt>
              </c:strCache>
            </c:strRef>
          </c:cat>
          <c:val>
            <c:numRef>
              <c:f>Planilha1!$F$30:$F$34</c:f>
              <c:numCache>
                <c:formatCode>"R$"#,##0.00_);[Red]\("R$"#,##0.00\)</c:formatCode>
                <c:ptCount val="5"/>
                <c:pt idx="0">
                  <c:v>15563.925874104681</c:v>
                </c:pt>
                <c:pt idx="1">
                  <c:v>44116.408113189958</c:v>
                </c:pt>
                <c:pt idx="2">
                  <c:v>109929.1297906229</c:v>
                </c:pt>
                <c:pt idx="3">
                  <c:v>354571.7961697409</c:v>
                </c:pt>
                <c:pt idx="4">
                  <c:v>899013.78645091644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0CD-42F9-8C03-E9E73129EF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03243184"/>
        <c:axId val="2003236944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spPr>
                  <a:ln w="2222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6"/>
                  <c:spPr>
                    <a:solidFill>
                      <a:schemeClr val="lt1"/>
                    </a:solidFill>
                    <a:ln w="15875">
                      <a:solidFill>
                        <a:schemeClr val="accent1"/>
                      </a:solidFill>
                      <a:round/>
                    </a:ln>
                    <a:effectLst/>
                  </c:spPr>
                </c:marker>
                <c:cat>
                  <c:strRef>
                    <c:extLst>
                      <c:ext uri="{02D57815-91ED-43cb-92C2-25804820EDAC}">
                        <c15:formulaRef>
                          <c15:sqref>Planilha1!$C$30:$C$34</c15:sqref>
                        </c15:formulaRef>
                      </c:ext>
                    </c:extLst>
                    <c:strCache>
                      <c:ptCount val="5"/>
                      <c:pt idx="0">
                        <c:v>Quanto em 2 Anos?</c:v>
                      </c:pt>
                      <c:pt idx="1">
                        <c:v>Quanto em 5 Anos?</c:v>
                      </c:pt>
                      <c:pt idx="2">
                        <c:v>Quanto em 10 Anos?</c:v>
                      </c:pt>
                      <c:pt idx="3">
                        <c:v>Quanto em 20 Anos?</c:v>
                      </c:pt>
                      <c:pt idx="4">
                        <c:v>Quanto em 30 Anos?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Planilha1!$B$30:$B$34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2</c:v>
                      </c:pt>
                      <c:pt idx="1">
                        <c:v>5</c:v>
                      </c:pt>
                      <c:pt idx="2">
                        <c:v>10</c:v>
                      </c:pt>
                      <c:pt idx="3">
                        <c:v>20</c:v>
                      </c:pt>
                      <c:pt idx="4">
                        <c:v>30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40CD-42F9-8C03-E9E73129EFEE}"/>
                  </c:ext>
                </c:extLst>
              </c15:ser>
            </c15:filteredLineSeries>
            <c15:filteredLineSeries>
              <c15:ser>
                <c:idx val="2"/>
                <c:order val="2"/>
                <c:spPr>
                  <a:ln w="2222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circle"/>
                  <c:size val="6"/>
                  <c:spPr>
                    <a:solidFill>
                      <a:schemeClr val="lt1"/>
                    </a:solidFill>
                    <a:ln w="15875">
                      <a:solidFill>
                        <a:schemeClr val="accent3"/>
                      </a:solidFill>
                      <a:round/>
                    </a:ln>
                    <a:effectLst/>
                  </c:spPr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Planilha1!$C$30:$C$34</c15:sqref>
                        </c15:formulaRef>
                      </c:ext>
                    </c:extLst>
                    <c:strCache>
                      <c:ptCount val="5"/>
                      <c:pt idx="0">
                        <c:v>Quanto em 2 Anos?</c:v>
                      </c:pt>
                      <c:pt idx="1">
                        <c:v>Quanto em 5 Anos?</c:v>
                      </c:pt>
                      <c:pt idx="2">
                        <c:v>Quanto em 10 Anos?</c:v>
                      </c:pt>
                      <c:pt idx="3">
                        <c:v>Quanto em 20 Anos?</c:v>
                      </c:pt>
                      <c:pt idx="4">
                        <c:v>Quanto em 30 Anos?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Planilha1!$E$30:$E$34</c15:sqref>
                        </c15:formulaRef>
                      </c:ext>
                    </c:extLst>
                    <c:numCache>
                      <c:formatCode>"R$"#,##0.00_);[Red]\("R$"#,##0.00\)</c:formatCode>
                      <c:ptCount val="5"/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40CD-42F9-8C03-E9E73129EFEE}"/>
                  </c:ext>
                </c:extLst>
              </c15:ser>
            </c15:filteredLineSeries>
          </c:ext>
        </c:extLst>
      </c:lineChart>
      <c:catAx>
        <c:axId val="20032431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  <a:alpha val="54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dk1">
                  <a:lumMod val="15000"/>
                  <a:lumOff val="85000"/>
                  <a:alpha val="51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03236944"/>
        <c:crosses val="autoZero"/>
        <c:auto val="1"/>
        <c:lblAlgn val="ctr"/>
        <c:lblOffset val="100"/>
        <c:noMultiLvlLbl val="0"/>
      </c:catAx>
      <c:valAx>
        <c:axId val="20032369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  <a:alpha val="54000"/>
                </a:schemeClr>
              </a:solidFill>
              <a:round/>
            </a:ln>
            <a:effectLst/>
          </c:spPr>
        </c:majorGridlines>
        <c:numFmt formatCode="&quot;R$&quot;#,##0.00_);[Red]\(&quot;R$&quot;#,##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03243184"/>
        <c:crosses val="autoZero"/>
        <c:crossBetween val="between"/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32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  <a:alpha val="54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  <a:alpha val="51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57977</xdr:colOff>
      <xdr:row>1</xdr:row>
      <xdr:rowOff>16564</xdr:rowOff>
    </xdr:from>
    <xdr:to>
      <xdr:col>12</xdr:col>
      <xdr:colOff>347870</xdr:colOff>
      <xdr:row>12</xdr:row>
      <xdr:rowOff>69100</xdr:rowOff>
    </xdr:to>
    <xdr:pic>
      <xdr:nvPicPr>
        <xdr:cNvPr id="9" name="Imagem 8">
          <a:extLst>
            <a:ext uri="{FF2B5EF4-FFF2-40B4-BE49-F238E27FC236}">
              <a16:creationId xmlns:a16="http://schemas.microsoft.com/office/drawing/2014/main" id="{09BA3507-ECD6-413D-8F92-FE3745C9BC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499" y="207064"/>
          <a:ext cx="12448762" cy="2148036"/>
        </a:xfrm>
        <a:prstGeom prst="rect">
          <a:avLst/>
        </a:prstGeom>
      </xdr:spPr>
    </xdr:pic>
    <xdr:clientData/>
  </xdr:twoCellAnchor>
  <xdr:twoCellAnchor>
    <xdr:from>
      <xdr:col>5</xdr:col>
      <xdr:colOff>1250673</xdr:colOff>
      <xdr:row>36</xdr:row>
      <xdr:rowOff>36444</xdr:rowOff>
    </xdr:from>
    <xdr:to>
      <xdr:col>12</xdr:col>
      <xdr:colOff>132522</xdr:colOff>
      <xdr:row>47</xdr:row>
      <xdr:rowOff>41414</xdr:rowOff>
    </xdr:to>
    <xdr:graphicFrame macro="">
      <xdr:nvGraphicFramePr>
        <xdr:cNvPr id="13" name="Gráfico 12">
          <a:extLst>
            <a:ext uri="{FF2B5EF4-FFF2-40B4-BE49-F238E27FC236}">
              <a16:creationId xmlns:a16="http://schemas.microsoft.com/office/drawing/2014/main" id="{55ED4D26-5E3A-4869-BF12-8311CFBA424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124239</xdr:colOff>
      <xdr:row>27</xdr:row>
      <xdr:rowOff>107674</xdr:rowOff>
    </xdr:from>
    <xdr:to>
      <xdr:col>13</xdr:col>
      <xdr:colOff>49696</xdr:colOff>
      <xdr:row>34</xdr:row>
      <xdr:rowOff>99391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168B630-5F12-6DAF-145D-8321046AF7D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6A4482-A5F0-4C8A-91F2-00B353C0952D}">
  <dimension ref="A1:M51"/>
  <sheetViews>
    <sheetView showGridLines="0" tabSelected="1" topLeftCell="A4" zoomScale="115" zoomScaleNormal="115" workbookViewId="0">
      <selection activeCell="D32" sqref="D32:E32 E18:F18"/>
    </sheetView>
  </sheetViews>
  <sheetFormatPr defaultColWidth="0" defaultRowHeight="15" zeroHeight="1" x14ac:dyDescent="0.25"/>
  <cols>
    <col min="1" max="1" width="2" customWidth="1"/>
    <col min="2" max="2" width="5.7109375" customWidth="1"/>
    <col min="3" max="3" width="43.85546875" customWidth="1"/>
    <col min="4" max="4" width="12.140625" customWidth="1"/>
    <col min="5" max="5" width="18.7109375" customWidth="1"/>
    <col min="6" max="6" width="29.28515625" customWidth="1"/>
    <col min="7" max="7" width="20.7109375" customWidth="1"/>
    <col min="8" max="8" width="9.140625" customWidth="1"/>
    <col min="9" max="9" width="15" customWidth="1"/>
    <col min="10" max="13" width="9.140625" customWidth="1"/>
    <col min="14" max="16384" width="9.140625" hidden="1"/>
  </cols>
  <sheetData>
    <row r="1" spans="3:13" x14ac:dyDescent="0.25"/>
    <row r="2" spans="3:13" x14ac:dyDescent="0.25"/>
    <row r="3" spans="3:13" x14ac:dyDescent="0.25"/>
    <row r="4" spans="3:13" x14ac:dyDescent="0.25"/>
    <row r="5" spans="3:13" x14ac:dyDescent="0.25"/>
    <row r="6" spans="3:13" x14ac:dyDescent="0.25"/>
    <row r="7" spans="3:13" x14ac:dyDescent="0.25"/>
    <row r="8" spans="3:13" x14ac:dyDescent="0.25"/>
    <row r="9" spans="3:13" x14ac:dyDescent="0.25"/>
    <row r="10" spans="3:13" x14ac:dyDescent="0.25"/>
    <row r="11" spans="3:13" x14ac:dyDescent="0.25"/>
    <row r="12" spans="3:13" x14ac:dyDescent="0.25"/>
    <row r="13" spans="3:13" ht="15" customHeight="1" x14ac:dyDescent="0.25"/>
    <row r="14" spans="3:13" ht="15" customHeight="1" x14ac:dyDescent="0.25"/>
    <row r="15" spans="3:13" ht="15" customHeight="1" thickBot="1" x14ac:dyDescent="0.3">
      <c r="J15" s="71"/>
      <c r="L15" s="71"/>
    </row>
    <row r="16" spans="3:13" ht="31.5" x14ac:dyDescent="0.25">
      <c r="C16" s="33" t="s">
        <v>12</v>
      </c>
      <c r="D16" s="34"/>
      <c r="E16" s="34"/>
      <c r="F16" s="35"/>
      <c r="H16" s="90" t="s">
        <v>36</v>
      </c>
      <c r="I16" s="84"/>
      <c r="J16" s="84"/>
      <c r="K16" s="84"/>
      <c r="L16" s="85"/>
      <c r="M16" s="71"/>
    </row>
    <row r="17" spans="2:13" ht="15" customHeight="1" x14ac:dyDescent="0.25">
      <c r="C17" s="36" t="s">
        <v>14</v>
      </c>
      <c r="D17" s="37"/>
      <c r="E17" s="42">
        <v>2500</v>
      </c>
      <c r="F17" s="43"/>
      <c r="H17" s="86" t="s">
        <v>37</v>
      </c>
      <c r="I17" s="87"/>
      <c r="J17" s="91">
        <v>10</v>
      </c>
      <c r="K17" s="92"/>
      <c r="L17" s="93"/>
      <c r="M17" s="71"/>
    </row>
    <row r="18" spans="2:13" ht="15" customHeight="1" x14ac:dyDescent="0.25">
      <c r="C18" s="38" t="s">
        <v>13</v>
      </c>
      <c r="D18" s="39"/>
      <c r="E18" s="44">
        <v>6.0000000000000001E-3</v>
      </c>
      <c r="F18" s="45"/>
      <c r="G18" s="98"/>
      <c r="H18" s="88" t="s">
        <v>38</v>
      </c>
      <c r="I18" s="89"/>
      <c r="J18" s="94">
        <f>J17/taxa_mensal</f>
        <v>926.7840593141799</v>
      </c>
      <c r="K18" s="95"/>
      <c r="L18" s="99"/>
      <c r="M18" s="71"/>
    </row>
    <row r="19" spans="2:13" ht="15" customHeight="1" thickBot="1" x14ac:dyDescent="0.3">
      <c r="C19" s="40" t="s">
        <v>15</v>
      </c>
      <c r="D19" s="41"/>
      <c r="E19" s="50">
        <f>E17*30%</f>
        <v>750</v>
      </c>
      <c r="F19" s="51"/>
      <c r="H19" s="100" t="s">
        <v>39</v>
      </c>
      <c r="I19" s="101"/>
      <c r="J19" s="96">
        <f>J18/J17</f>
        <v>92.678405931417984</v>
      </c>
      <c r="K19" s="97"/>
      <c r="L19" s="102"/>
      <c r="M19" s="71"/>
    </row>
    <row r="20" spans="2:13" ht="15" customHeight="1" thickBot="1" x14ac:dyDescent="0.3">
      <c r="H20" s="71"/>
      <c r="J20" s="71"/>
    </row>
    <row r="21" spans="2:13" ht="49.5" customHeight="1" x14ac:dyDescent="0.25">
      <c r="C21" s="52" t="s">
        <v>33</v>
      </c>
      <c r="D21" s="53"/>
      <c r="E21" s="53"/>
      <c r="F21" s="4"/>
      <c r="H21" s="52" t="s">
        <v>40</v>
      </c>
      <c r="I21" s="53"/>
      <c r="J21" s="53"/>
      <c r="K21" s="53"/>
      <c r="L21" s="103"/>
    </row>
    <row r="22" spans="2:13" ht="15.75" x14ac:dyDescent="0.25">
      <c r="C22" s="7" t="s">
        <v>0</v>
      </c>
      <c r="D22" s="56">
        <v>600</v>
      </c>
      <c r="E22" s="57"/>
      <c r="F22" s="75"/>
      <c r="H22" s="86" t="s">
        <v>41</v>
      </c>
      <c r="I22" s="87"/>
      <c r="J22" s="91">
        <v>3000</v>
      </c>
      <c r="K22" s="92"/>
      <c r="L22" s="93"/>
    </row>
    <row r="23" spans="2:13" ht="15" customHeight="1" x14ac:dyDescent="0.25">
      <c r="C23" s="7" t="s">
        <v>1</v>
      </c>
      <c r="D23" s="46">
        <v>5</v>
      </c>
      <c r="E23" s="47"/>
      <c r="F23" s="76"/>
      <c r="H23" s="88" t="s">
        <v>38</v>
      </c>
      <c r="I23" s="89"/>
      <c r="J23" s="94">
        <f>J22/taxa_mensal</f>
        <v>278035.21779425396</v>
      </c>
      <c r="K23" s="95"/>
      <c r="L23" s="99"/>
    </row>
    <row r="24" spans="2:13" ht="15" customHeight="1" thickBot="1" x14ac:dyDescent="0.3">
      <c r="C24" s="8" t="s">
        <v>32</v>
      </c>
      <c r="D24" s="81">
        <v>0.05</v>
      </c>
      <c r="E24" s="82"/>
      <c r="F24" s="83"/>
      <c r="H24" s="100" t="s">
        <v>42</v>
      </c>
      <c r="I24" s="101"/>
      <c r="J24" s="104">
        <f>NPER(taxa_mensal,-valor_investir,0,J23)/12</f>
        <v>13.912640724807531</v>
      </c>
      <c r="K24" s="105"/>
      <c r="L24" s="106"/>
    </row>
    <row r="25" spans="2:13" ht="15.75" x14ac:dyDescent="0.25">
      <c r="C25" s="8" t="s">
        <v>2</v>
      </c>
      <c r="D25" s="63">
        <v>1.0789999999999999E-2</v>
      </c>
      <c r="E25" s="64"/>
      <c r="F25" s="77"/>
    </row>
    <row r="26" spans="2:13" ht="17.25" x14ac:dyDescent="0.3">
      <c r="C26" s="19" t="s">
        <v>3</v>
      </c>
      <c r="D26" s="61">
        <f>FV(taxa_mensal,anos*12,valor_investir*-1)</f>
        <v>50266.148399092584</v>
      </c>
      <c r="E26" s="62"/>
      <c r="F26" s="78"/>
      <c r="I26" s="3"/>
    </row>
    <row r="27" spans="2:13" ht="15" customHeight="1" thickBot="1" x14ac:dyDescent="0.3">
      <c r="C27" s="20" t="s">
        <v>4</v>
      </c>
      <c r="D27" s="48">
        <f>patrimonio_acumulado*rendimento_carteira</f>
        <v>301.59689039455549</v>
      </c>
      <c r="E27" s="49"/>
      <c r="F27" s="79"/>
    </row>
    <row r="28" spans="2:13" ht="15.75" thickBot="1" x14ac:dyDescent="0.3"/>
    <row r="29" spans="2:13" ht="31.5" x14ac:dyDescent="0.25">
      <c r="C29" s="9" t="s">
        <v>10</v>
      </c>
      <c r="D29" s="73" t="s">
        <v>34</v>
      </c>
      <c r="E29" s="74"/>
      <c r="F29" s="80" t="s">
        <v>35</v>
      </c>
      <c r="G29" s="10" t="s">
        <v>11</v>
      </c>
    </row>
    <row r="30" spans="2:13" x14ac:dyDescent="0.25">
      <c r="B30" s="5">
        <v>2</v>
      </c>
      <c r="C30" s="11" t="s">
        <v>5</v>
      </c>
      <c r="D30" s="54">
        <f>FV($D$25,$B30*12,$D$22*-1)</f>
        <v>16336.57637858713</v>
      </c>
      <c r="E30" s="55"/>
      <c r="F30" s="69">
        <f>FV( ((1+taxa_mensal)/((1+$D$24)^(1/12)))-1, $B30*12, valor_investir * - 1 )</f>
        <v>15563.925874104681</v>
      </c>
      <c r="G30" s="12">
        <f>$D30*rendimento_carteira</f>
        <v>98.01945827152278</v>
      </c>
    </row>
    <row r="31" spans="2:13" x14ac:dyDescent="0.25">
      <c r="B31" s="5">
        <v>5</v>
      </c>
      <c r="C31" s="13" t="s">
        <v>6</v>
      </c>
      <c r="D31" s="58">
        <f>FV($D$25,$B31*12,$D$22*-1)</f>
        <v>50266.148399092584</v>
      </c>
      <c r="E31" s="59"/>
      <c r="F31" s="67">
        <f>FV( ((1+taxa_mensal)/((1+$D$24)^(1/12)))-1, $B31*12, valor_investir * - 1 )</f>
        <v>44116.408113189958</v>
      </c>
      <c r="G31" s="14">
        <f>$D31*rendimento_carteira</f>
        <v>301.59689039455549</v>
      </c>
    </row>
    <row r="32" spans="2:13" x14ac:dyDescent="0.25">
      <c r="B32" s="5">
        <v>10</v>
      </c>
      <c r="C32" s="15" t="s">
        <v>7</v>
      </c>
      <c r="D32" s="58">
        <f>FV($D$25,$B32*12,$D$22*-1)</f>
        <v>145970.52751810331</v>
      </c>
      <c r="E32" s="68"/>
      <c r="F32" s="66">
        <f>FV( ((1+taxa_mensal)/((1+$D$24)^(1/12)))-1, $B32*12, valor_investir * - 1 )</f>
        <v>109929.1297906229</v>
      </c>
      <c r="G32" s="14">
        <f>$D32*rendimento_carteira</f>
        <v>875.82316510861983</v>
      </c>
    </row>
    <row r="33" spans="2:7" x14ac:dyDescent="0.25">
      <c r="B33" s="5">
        <v>20</v>
      </c>
      <c r="C33" s="16" t="s">
        <v>8</v>
      </c>
      <c r="D33" s="58">
        <f>FV($D$25,$B33*12,$D$22*-1)</f>
        <v>675119.04005824833</v>
      </c>
      <c r="E33" s="59"/>
      <c r="F33" s="67">
        <f>FV( ((1+taxa_mensal)/((1+$D$24)^(1/12)))-1, $B33*12, valor_investir * - 1 )</f>
        <v>354571.7961697409</v>
      </c>
      <c r="G33" s="14">
        <f>$D33*rendimento_carteira</f>
        <v>4050.71424034949</v>
      </c>
    </row>
    <row r="34" spans="2:7" ht="15.75" thickBot="1" x14ac:dyDescent="0.3">
      <c r="B34" s="5">
        <v>30</v>
      </c>
      <c r="C34" s="17" t="s">
        <v>9</v>
      </c>
      <c r="D34" s="60">
        <f>FV($D$25,$B34*12,$D$22*-1)</f>
        <v>2593301.7930028285</v>
      </c>
      <c r="E34" s="70"/>
      <c r="F34" s="72">
        <f>FV( ((1+taxa_mensal)/((1+$D$24)^(1/12)))-1, $B34*12, valor_investir * - 1 )</f>
        <v>899013.78645091644</v>
      </c>
      <c r="G34" s="18">
        <f>$D34*rendimento_carteira</f>
        <v>15559.810758016971</v>
      </c>
    </row>
    <row r="35" spans="2:7" x14ac:dyDescent="0.25">
      <c r="F35" s="71"/>
    </row>
    <row r="36" spans="2:7" x14ac:dyDescent="0.25"/>
    <row r="37" spans="2:7" x14ac:dyDescent="0.25">
      <c r="C37" s="22" t="s">
        <v>18</v>
      </c>
      <c r="D37" s="23"/>
      <c r="E37" s="32" t="s">
        <v>28</v>
      </c>
    </row>
    <row r="38" spans="2:7" x14ac:dyDescent="0.25">
      <c r="C38" s="21" t="s">
        <v>17</v>
      </c>
      <c r="D38" s="21"/>
      <c r="E38" s="24">
        <f>valor_investir</f>
        <v>600</v>
      </c>
    </row>
    <row r="39" spans="2:7" x14ac:dyDescent="0.25"/>
    <row r="40" spans="2:7" x14ac:dyDescent="0.25">
      <c r="C40" s="26" t="s">
        <v>19</v>
      </c>
      <c r="D40" s="26" t="s">
        <v>20</v>
      </c>
      <c r="E40" s="26" t="s">
        <v>21</v>
      </c>
    </row>
    <row r="41" spans="2:7" x14ac:dyDescent="0.25">
      <c r="C41" s="1" t="s">
        <v>22</v>
      </c>
      <c r="D41" s="25">
        <f>VLOOKUP(perfil&amp;"-"&amp;$C41,Planilha2!$B:$E,4,FALSE)</f>
        <v>0.3</v>
      </c>
      <c r="E41" s="6">
        <f t="shared" ref="E41:E46" si="0">$D41*$E$38</f>
        <v>180</v>
      </c>
    </row>
    <row r="42" spans="2:7" x14ac:dyDescent="0.25">
      <c r="C42" s="1" t="s">
        <v>23</v>
      </c>
      <c r="D42" s="25">
        <f>VLOOKUP(perfil&amp;"-"&amp;$C42,Planilha2!$B:$E,4,FALSE)</f>
        <v>0.5</v>
      </c>
      <c r="E42" s="6">
        <f t="shared" si="0"/>
        <v>300</v>
      </c>
    </row>
    <row r="43" spans="2:7" x14ac:dyDescent="0.25">
      <c r="C43" s="1" t="s">
        <v>24</v>
      </c>
      <c r="D43" s="25">
        <f>VLOOKUP(perfil&amp;"-"&amp;$C43,Planilha2!$B:$E,4,FALSE)</f>
        <v>0.1</v>
      </c>
      <c r="E43" s="6">
        <f t="shared" si="0"/>
        <v>60</v>
      </c>
    </row>
    <row r="44" spans="2:7" x14ac:dyDescent="0.25">
      <c r="C44" s="1" t="s">
        <v>25</v>
      </c>
      <c r="D44" s="25">
        <f>VLOOKUP(perfil&amp;"-"&amp;$C44,Planilha2!$B:$E,4,FALSE)</f>
        <v>0.1</v>
      </c>
      <c r="E44" s="6">
        <f t="shared" si="0"/>
        <v>60</v>
      </c>
    </row>
    <row r="45" spans="2:7" x14ac:dyDescent="0.25">
      <c r="C45" s="1" t="s">
        <v>26</v>
      </c>
      <c r="D45" s="25">
        <f>VLOOKUP(perfil&amp;"-"&amp;$C45,Planilha2!$B:$E,4,FALSE)</f>
        <v>0</v>
      </c>
      <c r="E45" s="6">
        <f t="shared" si="0"/>
        <v>0</v>
      </c>
    </row>
    <row r="46" spans="2:7" x14ac:dyDescent="0.25">
      <c r="C46" s="1" t="s">
        <v>27</v>
      </c>
      <c r="D46" s="25">
        <f>VLOOKUP(perfil&amp;"-"&amp;$C46,Planilha2!$B:$E,4,FALSE)</f>
        <v>0</v>
      </c>
      <c r="E46" s="6">
        <f t="shared" si="0"/>
        <v>0</v>
      </c>
    </row>
    <row r="47" spans="2:7" x14ac:dyDescent="0.25">
      <c r="C47" s="27"/>
      <c r="D47" s="27"/>
      <c r="E47" s="28">
        <f>SUM(E41:E46)</f>
        <v>600</v>
      </c>
    </row>
    <row r="48" spans="2:7" x14ac:dyDescent="0.25"/>
    <row r="49" spans="3:4" x14ac:dyDescent="0.25"/>
    <row r="50" spans="3:4" x14ac:dyDescent="0.25"/>
    <row r="51" spans="3:4" hidden="1" x14ac:dyDescent="0.25">
      <c r="C51" s="65"/>
      <c r="D51" s="65"/>
    </row>
  </sheetData>
  <sheetProtection algorithmName="SHA-512" hashValue="mstE4jhP/kkUc9ia7Ma46zhnTA+J5No/zFifufy5edNYVcRc7KDwoitR+Q4l97qJcx74rPfLSnwDMB0IxfmoKA==" saltValue="uzZQ/WHDdZuvmGW1CPGGQw==" spinCount="100000" sheet="1" objects="1" scenarios="1"/>
  <mergeCells count="35">
    <mergeCell ref="H24:I24"/>
    <mergeCell ref="J24:L24"/>
    <mergeCell ref="H21:L21"/>
    <mergeCell ref="H22:I22"/>
    <mergeCell ref="H23:I23"/>
    <mergeCell ref="J23:L23"/>
    <mergeCell ref="J22:L22"/>
    <mergeCell ref="H16:L16"/>
    <mergeCell ref="H17:I17"/>
    <mergeCell ref="J17:L17"/>
    <mergeCell ref="H18:I18"/>
    <mergeCell ref="H19:I19"/>
    <mergeCell ref="J18:L18"/>
    <mergeCell ref="J19:L19"/>
    <mergeCell ref="C51:D51"/>
    <mergeCell ref="D29:E29"/>
    <mergeCell ref="D22:F22"/>
    <mergeCell ref="D23:F23"/>
    <mergeCell ref="D24:F24"/>
    <mergeCell ref="D25:F25"/>
    <mergeCell ref="D26:F26"/>
    <mergeCell ref="D27:F27"/>
    <mergeCell ref="D32:E32"/>
    <mergeCell ref="D33:E33"/>
    <mergeCell ref="D34:E34"/>
    <mergeCell ref="D31:E31"/>
    <mergeCell ref="E19:F19"/>
    <mergeCell ref="C21:E21"/>
    <mergeCell ref="D30:E30"/>
    <mergeCell ref="C16:F16"/>
    <mergeCell ref="C17:D17"/>
    <mergeCell ref="C18:D18"/>
    <mergeCell ref="C19:D19"/>
    <mergeCell ref="E17:F17"/>
    <mergeCell ref="E18:F18"/>
  </mergeCells>
  <dataValidations count="1">
    <dataValidation type="list" allowBlank="1" showInputMessage="1" showErrorMessage="1" sqref="E37" xr:uid="{39DC3BD9-E36F-4139-8B88-54B83EF3D25C}">
      <formula1>"AGRESSIVO,CONSERVADOR,MODERADO"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1A8731-48D5-4DE2-9260-72EC04D323C4}">
  <dimension ref="B3:E21"/>
  <sheetViews>
    <sheetView workbookViewId="0">
      <selection activeCell="I9" sqref="I9"/>
    </sheetView>
  </sheetViews>
  <sheetFormatPr defaultRowHeight="15" x14ac:dyDescent="0.25"/>
  <cols>
    <col min="2" max="2" width="33.85546875" bestFit="1" customWidth="1"/>
    <col min="3" max="3" width="14.7109375" bestFit="1" customWidth="1"/>
    <col min="4" max="4" width="19" bestFit="1" customWidth="1"/>
  </cols>
  <sheetData>
    <row r="3" spans="2:5" ht="15.75" thickBot="1" x14ac:dyDescent="0.3">
      <c r="B3" s="2" t="s">
        <v>30</v>
      </c>
      <c r="C3" s="29" t="s">
        <v>18</v>
      </c>
      <c r="D3" s="29" t="s">
        <v>19</v>
      </c>
      <c r="E3" s="29" t="s">
        <v>29</v>
      </c>
    </row>
    <row r="4" spans="2:5" x14ac:dyDescent="0.25">
      <c r="B4" t="str">
        <f t="shared" ref="B4:B9" si="0">$C$4&amp;"-"&amp;D4</f>
        <v>CONSERVADOR-PAPEL</v>
      </c>
      <c r="C4" t="s">
        <v>28</v>
      </c>
      <c r="D4" t="s">
        <v>22</v>
      </c>
      <c r="E4" s="30">
        <v>0.3</v>
      </c>
    </row>
    <row r="5" spans="2:5" x14ac:dyDescent="0.25">
      <c r="B5" t="str">
        <f t="shared" si="0"/>
        <v>CONSERVADOR-TIJOLO</v>
      </c>
      <c r="C5" t="s">
        <v>28</v>
      </c>
      <c r="D5" t="s">
        <v>23</v>
      </c>
      <c r="E5" s="30">
        <v>0.5</v>
      </c>
    </row>
    <row r="6" spans="2:5" x14ac:dyDescent="0.25">
      <c r="B6" t="str">
        <f t="shared" si="0"/>
        <v>CONSERVADOR-HÍBRIDOS</v>
      </c>
      <c r="C6" t="s">
        <v>28</v>
      </c>
      <c r="D6" t="s">
        <v>24</v>
      </c>
      <c r="E6" s="30">
        <v>0.1</v>
      </c>
    </row>
    <row r="7" spans="2:5" x14ac:dyDescent="0.25">
      <c r="B7" t="str">
        <f t="shared" si="0"/>
        <v>CONSERVADOR-FOFs</v>
      </c>
      <c r="C7" t="s">
        <v>28</v>
      </c>
      <c r="D7" t="s">
        <v>25</v>
      </c>
      <c r="E7" s="30">
        <v>0.1</v>
      </c>
    </row>
    <row r="8" spans="2:5" x14ac:dyDescent="0.25">
      <c r="B8" t="str">
        <f t="shared" si="0"/>
        <v>CONSERVADOR-DESENVOLVIMENTO</v>
      </c>
      <c r="C8" t="s">
        <v>28</v>
      </c>
      <c r="D8" t="s">
        <v>26</v>
      </c>
      <c r="E8" s="30">
        <v>0</v>
      </c>
    </row>
    <row r="9" spans="2:5" ht="15.75" thickBot="1" x14ac:dyDescent="0.3">
      <c r="B9" s="2" t="str">
        <f t="shared" si="0"/>
        <v>CONSERVADOR-HOTELARIAS</v>
      </c>
      <c r="C9" s="2" t="s">
        <v>28</v>
      </c>
      <c r="D9" s="2" t="s">
        <v>27</v>
      </c>
      <c r="E9" s="31">
        <v>0</v>
      </c>
    </row>
    <row r="10" spans="2:5" x14ac:dyDescent="0.25">
      <c r="B10" t="str">
        <f t="shared" ref="B10:B15" si="1">$C$10&amp;"-"&amp;D10</f>
        <v>MODERADO-PAPEL</v>
      </c>
      <c r="C10" t="s">
        <v>31</v>
      </c>
      <c r="D10" t="s">
        <v>22</v>
      </c>
      <c r="E10" s="30">
        <v>0.32</v>
      </c>
    </row>
    <row r="11" spans="2:5" x14ac:dyDescent="0.25">
      <c r="B11" t="str">
        <f t="shared" si="1"/>
        <v>MODERADO-TIJOLO</v>
      </c>
      <c r="C11" t="s">
        <v>31</v>
      </c>
      <c r="D11" t="s">
        <v>23</v>
      </c>
      <c r="E11" s="30">
        <v>0.35</v>
      </c>
    </row>
    <row r="12" spans="2:5" x14ac:dyDescent="0.25">
      <c r="B12" t="str">
        <f t="shared" si="1"/>
        <v>MODERADO-HÍBRIDOS</v>
      </c>
      <c r="C12" t="s">
        <v>31</v>
      </c>
      <c r="D12" t="s">
        <v>24</v>
      </c>
      <c r="E12" s="30">
        <v>0.08</v>
      </c>
    </row>
    <row r="13" spans="2:5" x14ac:dyDescent="0.25">
      <c r="B13" t="str">
        <f t="shared" si="1"/>
        <v>MODERADO-FOFs</v>
      </c>
      <c r="C13" t="s">
        <v>31</v>
      </c>
      <c r="D13" t="s">
        <v>25</v>
      </c>
      <c r="E13" s="30">
        <v>0.05</v>
      </c>
    </row>
    <row r="14" spans="2:5" x14ac:dyDescent="0.25">
      <c r="B14" t="str">
        <f t="shared" si="1"/>
        <v>MODERADO-DESENVOLVIMENTO</v>
      </c>
      <c r="C14" t="s">
        <v>31</v>
      </c>
      <c r="D14" t="s">
        <v>26</v>
      </c>
      <c r="E14" s="30">
        <v>0.1</v>
      </c>
    </row>
    <row r="15" spans="2:5" ht="15.75" thickBot="1" x14ac:dyDescent="0.3">
      <c r="B15" s="2" t="str">
        <f t="shared" si="1"/>
        <v>MODERADO-HOTELARIAS</v>
      </c>
      <c r="C15" s="2" t="s">
        <v>31</v>
      </c>
      <c r="D15" s="2" t="s">
        <v>27</v>
      </c>
      <c r="E15" s="31">
        <v>0.1</v>
      </c>
    </row>
    <row r="16" spans="2:5" x14ac:dyDescent="0.25">
      <c r="B16" t="str">
        <f t="shared" ref="B16:B21" si="2">$C$16&amp;"-"&amp;D16</f>
        <v>AGRESSIVO-PAPEL</v>
      </c>
      <c r="C16" t="s">
        <v>16</v>
      </c>
      <c r="D16" t="s">
        <v>22</v>
      </c>
      <c r="E16" s="30">
        <v>0.5</v>
      </c>
    </row>
    <row r="17" spans="2:5" x14ac:dyDescent="0.25">
      <c r="B17" t="str">
        <f t="shared" si="2"/>
        <v>AGRESSIVO-TIJOLO</v>
      </c>
      <c r="C17" t="s">
        <v>16</v>
      </c>
      <c r="D17" t="s">
        <v>23</v>
      </c>
      <c r="E17" s="30">
        <v>0.1</v>
      </c>
    </row>
    <row r="18" spans="2:5" x14ac:dyDescent="0.25">
      <c r="B18" t="str">
        <f t="shared" si="2"/>
        <v>AGRESSIVO-HÍBRIDOS</v>
      </c>
      <c r="C18" t="s">
        <v>16</v>
      </c>
      <c r="D18" t="s">
        <v>24</v>
      </c>
      <c r="E18" s="30">
        <v>0.05</v>
      </c>
    </row>
    <row r="19" spans="2:5" x14ac:dyDescent="0.25">
      <c r="B19" t="str">
        <f t="shared" si="2"/>
        <v>AGRESSIVO-FOFs</v>
      </c>
      <c r="C19" t="s">
        <v>16</v>
      </c>
      <c r="D19" t="s">
        <v>25</v>
      </c>
      <c r="E19" s="30">
        <v>0.05</v>
      </c>
    </row>
    <row r="20" spans="2:5" x14ac:dyDescent="0.25">
      <c r="B20" t="str">
        <f t="shared" si="2"/>
        <v>AGRESSIVO-DESENVOLVIMENTO</v>
      </c>
      <c r="C20" t="s">
        <v>16</v>
      </c>
      <c r="D20" t="s">
        <v>26</v>
      </c>
      <c r="E20" s="30">
        <v>0.2</v>
      </c>
    </row>
    <row r="21" spans="2:5" x14ac:dyDescent="0.25">
      <c r="B21" t="str">
        <f t="shared" si="2"/>
        <v>AGRESSIVO-HOTELARIAS</v>
      </c>
      <c r="C21" t="s">
        <v>16</v>
      </c>
      <c r="D21" t="s">
        <v>27</v>
      </c>
      <c r="E21" s="30">
        <v>0.1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7</vt:i4>
      </vt:variant>
    </vt:vector>
  </HeadingPairs>
  <TitlesOfParts>
    <vt:vector size="9" baseType="lpstr">
      <vt:lpstr>Planilha1</vt:lpstr>
      <vt:lpstr>Planilha2</vt:lpstr>
      <vt:lpstr>anos</vt:lpstr>
      <vt:lpstr>patrimonio_acumulado</vt:lpstr>
      <vt:lpstr>perfil</vt:lpstr>
      <vt:lpstr>rendimento_carteira</vt:lpstr>
      <vt:lpstr>salario</vt:lpstr>
      <vt:lpstr>taxa_mensal</vt:lpstr>
      <vt:lpstr>valor_investir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 Lima</dc:creator>
  <cp:lastModifiedBy>LUCAS OLIVEIRA SOARES LIMA</cp:lastModifiedBy>
  <dcterms:created xsi:type="dcterms:W3CDTF">2025-12-24T00:00:50Z</dcterms:created>
  <dcterms:modified xsi:type="dcterms:W3CDTF">2025-12-29T02:32:10Z</dcterms:modified>
</cp:coreProperties>
</file>